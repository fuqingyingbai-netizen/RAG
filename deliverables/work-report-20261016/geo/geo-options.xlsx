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e0cf4cc3ca4e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方案汇报" sheetId="1" r:id="R72b31c3121114b62"/>
    <x:sheet xmlns:r="http://schemas.openxmlformats.org/officeDocument/2006/relationships" name="报价与假设" sheetId="2" r:id="R52475ef35b1843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&quot;¥&quot;#,##0"/>
    <x:numFmt numFmtId="202" formatCode="#,##0"/>
    <x:numFmt numFmtId="203" formatCode="@"/>
    <x:numFmt numFmtId="204" formatCode="0"/>
  </x:numFmts>
  <x:fonts count="12">
    <x:font>
      <x:sz val="11"/>
      <x:name val="Carlito"/>
    </x:font>
    <x:font>
      <x:sz val="11"/>
      <x:color rgb="FF243447"/>
      <x:name val="Microsoft YaHei"/>
    </x:font>
    <x:font>
      <x:b/>
      <x:sz val="16"/>
      <x:color rgb="FF243447"/>
      <x:name val="Microsoft YaHei"/>
    </x:font>
    <x:font>
      <x:b/>
      <x:sz val="11"/>
      <x:color rgb="FFFFFFFF"/>
      <x:name val="Microsoft YaHei"/>
    </x:font>
    <x:font>
      <x:b/>
      <x:sz val="11"/>
      <x:color rgb="FF243447"/>
      <x:name val="Microsoft YaHei"/>
    </x:font>
    <x:font>
      <x:b/>
      <x:sz val="13"/>
      <x:color rgb="FF27476B"/>
      <x:name val="Microsoft YaHei"/>
    </x:font>
    <x:font>
      <x:sz val="11"/>
      <x:color rgb="FF1554A1"/>
      <x:name val="Microsoft YaHei"/>
    </x:font>
    <x:font>
      <x:sz val="11"/>
      <x:color rgb="FF27476B"/>
      <x:name val="Microsoft YaHei"/>
    </x:font>
    <x:font>
      <x:b/>
      <x:sz val="13"/>
      <x:color rgb="FF24476A"/>
      <x:name val="Microsoft YaHei"/>
    </x:font>
    <x:font>
      <x:sz val="11"/>
      <x:color rgb="FF5C6D80"/>
      <x:name val="Microsoft YaHei"/>
    </x:font>
    <x:font>
      <x:sz val="10"/>
      <x:color rgb="FF5C6D80"/>
      <x:name val="Microsoft YaHei"/>
    </x:font>
    <x:font>
      <x:b/>
      <x:sz val="11"/>
      <x:color rgb="FF24476A"/>
      <x:name val="Microsoft YaHei"/>
    </x:font>
  </x:fonts>
  <x:fills count="24">
    <x:fill>
      <x:patternFill patternType="none"/>
    </x:fill>
    <x:fill>
      <x:patternFill patternType="gray125"/>
    </x:fill>
    <x:fill>
      <x:patternFill patternType="solid">
        <x:fgColor rgb="FFEEF3F8"/>
      </x:patternFill>
    </x:fill>
    <x:fill>
      <x:patternFill patternType="solid">
        <x:fgColor rgb="FF27476B"/>
      </x:patternFill>
    </x:fill>
    <x:fill>
      <x:patternFill patternType="solid">
        <x:fgColor rgb="FFF5F7FA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27476B"/>
      </x:patternFill>
    </x:fill>
    <x:fill>
      <x:patternFill patternType="solid">
        <x:fgColor rgb="FFF5F7FA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27476B"/>
      </x:patternFill>
    </x:fill>
    <x:fill>
      <x:patternFill patternType="solid">
        <x:fgColor rgb="FFF5F7FA"/>
      </x:patternFill>
    </x:fill>
    <x:fill>
      <x:patternFill patternType="solid">
        <x:fgColor rgb="FFFFF2CC"/>
      </x:patternFill>
    </x:fill>
    <x:fill>
      <x:patternFill patternType="solid">
        <x:fgColor rgb="FF27476B"/>
      </x:patternFill>
    </x:fill>
    <x:fill>
      <x:patternFill patternType="solid">
        <x:fgColor rgb="FFFFF2CC"/>
      </x:patternFill>
    </x:fill>
    <x:fill>
      <x:patternFill patternType="solid">
        <x:fgColor rgb="FF27476B"/>
      </x:patternFill>
    </x:fill>
    <x:fill>
      <x:patternFill patternType="solid">
        <x:fgColor rgb="FFFFF2CC"/>
      </x:patternFill>
    </x:fill>
    <x:fill>
      <x:patternFill patternType="solid">
        <x:fgColor rgb="FF27476B"/>
      </x:patternFill>
    </x:fill>
    <x:fill>
      <x:patternFill patternType="solid">
        <x:fgColor rgb="FFF5F7FA"/>
      </x:patternFill>
    </x:fill>
    <x:fill>
      <x:patternFill patternType="solid">
        <x:fgColor rgb="FFFFFFFF"/>
      </x:patternFill>
    </x:fill>
    <x:fill>
      <x:patternFill patternType="solid">
        <x:fgColor rgb="FFEAF0F6"/>
      </x:patternFill>
    </x:fill>
    <x:fill>
      <x:patternFill patternType="solid">
        <x:fgColor rgb="FF24476A"/>
      </x:patternFill>
    </x:fill>
    <x:fill>
      <x:patternFill patternType="solid">
        <x:fgColor rgb="FFF1F5F9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rgb="FF27476B"/>
      </x:bottom>
      <x:diagonal/>
    </x:border>
    <x:border>
      <x:left/>
      <x:right/>
      <x:top/>
      <x:bottom style="thin">
        <x:color rgb="FF24476A"/>
      </x:bottom>
      <x:diagonal/>
    </x:border>
    <x:border>
      <x:left/>
      <x:right/>
      <x:top/>
      <x:bottom style="thin">
        <x:color rgb="FFDCE4ED"/>
      </x:bottom>
      <x:diagonal/>
    </x:border>
  </x:borders>
  <x:cellStyleXfs count="1">
    <x:xf numFmtId="0" fontId="0" fillId="0" borderId="0"/>
  </x:cellStyleXfs>
  <x:cellXfs count="13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0"/>
    </x:xf>
    <x:xf numFmtId="0" fontId="1" fillId="0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1" fontId="1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201" fontId="1" fillId="4" borderId="0" xfId="0" applyNumberFormat="1" applyFont="1" applyFill="1" applyBorder="1" applyAlignment="1">
      <x:alignment vertical="center" wrapText="1"/>
    </x:xf>
    <x:xf numFmtId="201" fontId="1" fillId="2" borderId="0" xfId="0" applyNumberFormat="1" applyFont="1" applyFill="1" applyBorder="1" applyAlignment="1">
      <x:alignment horizontal="right"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201" fontId="1" fillId="4" borderId="0" xfId="0" applyNumberFormat="1" applyFont="1" applyFill="1" applyBorder="1" applyAlignment="1">
      <x:alignment horizontal="right"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horizontal="left" vertical="center" wrapText="1"/>
    </x:xf>
    <x:xf numFmtId="202" fontId="1" fillId="4" borderId="0" xfId="0" applyNumberFormat="1" applyFont="1" applyFill="1" applyBorder="1" applyAlignment="1">
      <x:alignment horizontal="center" vertical="center" wrapText="1"/>
    </x:xf>
    <x:xf numFmtId="202" fontId="1" fillId="5" borderId="0" xfId="0" applyNumberFormat="1" applyFont="1" applyFill="1" applyBorder="1" applyAlignment="1">
      <x:alignment vertical="center" wrapText="1"/>
    </x:xf>
    <x:xf numFmtId="202" fontId="6" fillId="5" borderId="0" xfId="0" applyNumberFormat="1" applyFont="1" applyFill="1" applyBorder="1" applyAlignment="1">
      <x:alignment vertical="center" wrapText="1"/>
    </x:xf>
    <x:xf numFmtId="202" fontId="4" fillId="0" borderId="0" xfId="0" applyNumberFormat="1" applyFont="1" applyFill="1" applyBorder="1" applyAlignment="1">
      <x:alignment vertical="center" wrapText="1"/>
    </x:xf>
    <x:xf numFmtId="202" fontId="6" fillId="5" borderId="0" xfId="0" applyNumberFormat="1" applyFont="1" applyFill="1" applyBorder="1" applyAlignment="1">
      <x:alignment horizontal="right" vertical="center" wrapText="1"/>
    </x:xf>
    <x:xf numFmtId="202" fontId="4" fillId="0" borderId="0" xfId="0" applyNumberFormat="1" applyFont="1" applyFill="1" applyBorder="1" applyAlignment="1">
      <x:alignment horizontal="right" vertical="center" wrapText="1"/>
    </x:xf>
    <x:xf numFmtId="203" fontId="1" fillId="0" borderId="0" xfId="0" applyNumberFormat="1" applyFont="1" applyFill="1" applyBorder="1" applyAlignment="1">
      <x:alignment horizontal="right" vertical="center" wrapText="1"/>
    </x:xf>
    <x:xf numFmtId="203" fontId="1" fillId="4" borderId="0" xfId="0" applyNumberFormat="1" applyFont="1" applyFill="1" applyBorder="1" applyAlignment="1">
      <x:alignment horizontal="right" vertical="center" wrapText="1"/>
    </x:xf>
    <x:xf numFmtId="203" fontId="1" fillId="0" borderId="0" xfId="0" applyNumberFormat="1" applyFont="1" applyFill="1" applyBorder="1" applyAlignment="1">
      <x:alignment horizontal="left" vertical="center" wrapText="1"/>
    </x:xf>
    <x:xf numFmtId="203" fontId="1" fillId="4" borderId="0" xfId="0" applyNumberFormat="1" applyFont="1" applyFill="1" applyBorder="1" applyAlignment="1">
      <x:alignment horizontal="left" vertical="center" wrapText="1"/>
    </x:xf>
    <x:xf numFmtId="203" fontId="6" fillId="5" borderId="0" xfId="0" applyNumberFormat="1" applyFont="1" applyFill="1" applyBorder="1" applyAlignment="1">
      <x:alignment horizontal="right" vertical="center" wrapText="1"/>
    </x:xf>
    <x:xf numFmtId="203" fontId="6" fillId="5" borderId="0" xfId="0" applyNumberFormat="1" applyFont="1" applyFill="1" applyBorder="1" applyAlignment="1">
      <x:alignment horizontal="left" vertical="center" wrapText="1"/>
    </x:xf>
    <x:xf numFmtId="203" fontId="4" fillId="0" borderId="0" xfId="0" applyNumberFormat="1" applyFont="1" applyFill="1" applyBorder="1" applyAlignment="1">
      <x:alignment horizontal="right" vertical="center" wrapText="1"/>
    </x:xf>
    <x:xf numFmtId="203" fontId="4" fillId="0" borderId="0" xfId="0" applyNumberFormat="1" applyFont="1" applyFill="1" applyBorder="1" applyAlignment="1">
      <x:alignment horizontal="left" vertical="center" wrapText="1"/>
    </x:xf>
    <x:xf numFmtId="203" fontId="6" fillId="6" borderId="0" xfId="0" applyNumberFormat="1" applyFont="1" applyFill="1" applyBorder="1" applyAlignment="1">
      <x:alignment horizontal="left" vertical="center" wrapText="1"/>
    </x:xf>
    <x:xf numFmtId="203" fontId="1" fillId="6" borderId="0" xfId="0" applyNumberFormat="1" applyFont="1" applyFill="1" applyBorder="1" applyAlignment="1">
      <x:alignment horizontal="left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0"/>
    </x:xf>
    <x:xf numFmtId="0" fontId="5" fillId="0" borderId="0" xfId="0" applyNumberFormat="1" applyFont="1" applyFill="1" applyBorder="1" applyAlignment="1">
      <x:alignment vertical="center" wrapText="0"/>
    </x:xf>
    <x:xf numFmtId="0" fontId="1" fillId="7" borderId="0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201" fontId="1" fillId="8" borderId="0" xfId="0" applyNumberFormat="1" applyFont="1" applyFill="1" applyBorder="1" applyAlignment="1">
      <x:alignment horizontal="right"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0" fontId="6" fillId="9" borderId="0" xfId="0" applyNumberFormat="1" applyFont="1" applyFill="1" applyBorder="1" applyAlignment="1">
      <x:alignment vertical="center" wrapText="1"/>
    </x:xf>
    <x:xf numFmtId="202" fontId="6" fillId="9" borderId="0" xfId="0" applyNumberFormat="1" applyFont="1" applyFill="1" applyBorder="1" applyAlignment="1">
      <x:alignment vertical="center" wrapText="1"/>
    </x:xf>
    <x:xf numFmtId="203" fontId="1" fillId="10" borderId="0" xfId="0" applyNumberFormat="1" applyFont="1" applyFill="1" applyBorder="1" applyAlignment="1">
      <x:alignment horizontal="left" vertical="center" wrapText="1"/>
    </x:xf>
    <x:xf numFmtId="0" fontId="4" fillId="0" borderId="0" xfId="0" applyNumberFormat="1" applyFont="1" applyFill="1" applyBorder="1" applyAlignment="1">
      <x:alignment vertical="center" wrapText="0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11" borderId="0" xfId="0" applyNumberFormat="1" applyFont="1" applyFill="1" applyBorder="1" applyAlignment="1">
      <x:alignment horizontal="center" vertical="center" wrapText="1"/>
    </x:xf>
    <x:xf numFmtId="0" fontId="3" fillId="11" borderId="0" xfId="0" applyNumberFormat="1" applyFont="1" applyFill="1" applyBorder="1" applyAlignment="1">
      <x:alignment horizontal="center" vertical="center" wrapText="1"/>
    </x:xf>
    <x:xf numFmtId="0" fontId="1" fillId="12" borderId="0" xfId="0" applyNumberFormat="1" applyFont="1" applyFill="1" applyBorder="1" applyAlignment="1">
      <x:alignment vertical="center" wrapText="1"/>
    </x:xf>
    <x:xf numFmtId="201" fontId="1" fillId="12" borderId="0" xfId="0" applyNumberFormat="1" applyFont="1" applyFill="1" applyBorder="1" applyAlignment="1">
      <x:alignment horizontal="right" vertical="center" wrapText="1"/>
    </x:xf>
    <x:xf numFmtId="202" fontId="1" fillId="13" borderId="0" xfId="0" applyNumberFormat="1" applyFont="1" applyFill="1" applyBorder="1" applyAlignment="1">
      <x:alignment vertical="center" wrapText="1"/>
    </x:xf>
    <x:xf numFmtId="202" fontId="6" fillId="13" borderId="0" xfId="0" applyNumberFormat="1" applyFont="1" applyFill="1" applyBorder="1" applyAlignment="1">
      <x:alignment vertical="center" wrapText="1"/>
    </x:xf>
    <x:xf numFmtId="0" fontId="1" fillId="14" borderId="0" xfId="0" applyNumberFormat="1" applyFont="1" applyFill="1" applyBorder="1" applyAlignment="1">
      <x:alignment vertical="center" wrapText="1"/>
    </x:xf>
    <x:xf numFmtId="0" fontId="3" fillId="14" borderId="0" xfId="0" applyNumberFormat="1" applyFont="1" applyFill="1" applyBorder="1" applyAlignment="1">
      <x:alignment vertical="center" wrapText="1"/>
    </x:xf>
    <x:xf numFmtId="0" fontId="3" fillId="14" borderId="0" xfId="0" applyNumberFormat="1" applyFont="1" applyFill="1" applyBorder="1" applyAlignment="1">
      <x:alignment horizontal="center" vertical="center" wrapText="1"/>
    </x:xf>
    <x:xf numFmtId="204" fontId="1" fillId="0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horizontal="right" vertical="center" wrapText="1"/>
    </x:xf>
    <x:xf numFmtId="204" fontId="1" fillId="15" borderId="0" xfId="0" applyNumberFormat="1" applyFont="1" applyFill="1" applyBorder="1" applyAlignment="1">
      <x:alignment horizontal="right" vertical="center" wrapText="1"/>
    </x:xf>
    <x:xf numFmtId="204" fontId="6" fillId="15" borderId="0" xfId="0" applyNumberFormat="1" applyFont="1" applyFill="1" applyBorder="1" applyAlignment="1">
      <x:alignment horizontal="right" vertical="center" wrapText="1"/>
    </x:xf>
    <x:xf numFmtId="204" fontId="1" fillId="5" borderId="0" xfId="0" applyNumberFormat="1" applyFont="1" applyFill="1" applyBorder="1" applyAlignment="1">
      <x:alignment horizontal="right" vertical="center" wrapText="1"/>
    </x:xf>
    <x:xf numFmtId="0" fontId="4" fillId="16" borderId="0" xfId="0" applyNumberFormat="1" applyFont="1" applyFill="1" applyBorder="1" applyAlignment="1">
      <x:alignment horizontal="center" vertical="center" wrapText="1"/>
    </x:xf>
    <x:xf numFmtId="0" fontId="3" fillId="16" borderId="0" xfId="0" applyNumberFormat="1" applyFont="1" applyFill="1" applyBorder="1" applyAlignment="1">
      <x:alignment horizontal="center" vertical="center" wrapText="1"/>
    </x:xf>
    <x:xf numFmtId="204" fontId="1" fillId="17" borderId="0" xfId="0" applyNumberFormat="1" applyFont="1" applyFill="1" applyBorder="1" applyAlignment="1">
      <x:alignment horizontal="right" vertical="center" wrapText="1"/>
    </x:xf>
    <x:xf numFmtId="204" fontId="6" fillId="17" borderId="0" xfId="0" applyNumberFormat="1" applyFont="1" applyFill="1" applyBorder="1" applyAlignment="1">
      <x:alignment horizontal="right"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1" fillId="18" borderId="0" xfId="0" applyNumberFormat="1" applyFont="1" applyFill="1" applyBorder="1" applyAlignment="1">
      <x:alignment vertical="center" wrapText="1"/>
    </x:xf>
    <x:xf numFmtId="0" fontId="3" fillId="18" borderId="0" xfId="0" applyNumberFormat="1" applyFont="1" applyFill="1" applyBorder="1" applyAlignment="1">
      <x:alignment vertical="center" wrapText="1"/>
    </x:xf>
    <x:xf numFmtId="0" fontId="3" fillId="18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right" vertical="center" wrapText="1"/>
    </x:xf>
    <x:xf numFmtId="0" fontId="1" fillId="19" borderId="0" xfId="0" applyNumberFormat="1" applyFont="1" applyFill="1" applyBorder="1" applyAlignment="1">
      <x:alignment vertical="center" wrapText="1"/>
    </x:xf>
    <x:xf numFmtId="201" fontId="1" fillId="19" borderId="0" xfId="0" applyNumberFormat="1" applyFont="1" applyFill="1" applyBorder="1" applyAlignment="1">
      <x:alignment horizontal="right" vertical="center" wrapText="1"/>
    </x:xf>
    <x:xf numFmtId="0" fontId="1" fillId="19" borderId="0" xfId="0" applyNumberFormat="1" applyFont="1" applyFill="1" applyBorder="1" applyAlignment="1">
      <x:alignment horizontal="center" vertical="center" wrapText="1"/>
    </x:xf>
    <x:xf numFmtId="0" fontId="1" fillId="19" borderId="0" xfId="0" applyNumberFormat="1" applyFont="1" applyFill="1" applyBorder="1" applyAlignment="1">
      <x:alignment horizontal="right" vertical="center" wrapText="1"/>
    </x:xf>
    <x:xf numFmtId="0" fontId="1" fillId="20" borderId="0" xfId="0" applyNumberFormat="1" applyFont="1" applyFill="1" applyBorder="1"/>
    <x:xf numFmtId="0" fontId="1" fillId="20" borderId="0" xfId="0" applyNumberFormat="1" applyFont="1" applyFill="1" applyBorder="1" applyAlignment="1">
      <x:alignment wrapText="1"/>
    </x:xf>
    <x:xf numFmtId="0" fontId="1" fillId="20" borderId="0" xfId="0" applyNumberFormat="1" applyFont="1" applyFill="1" applyBorder="1" applyAlignment="1">
      <x:alignment vertical="center" wrapText="1"/>
    </x:xf>
    <x:xf numFmtId="0" fontId="2" fillId="20" borderId="0" xfId="0" applyNumberFormat="1" applyFont="1" applyFill="1" applyBorder="1" applyAlignment="1">
      <x:alignment vertical="center" wrapText="1"/>
    </x:xf>
    <x:xf numFmtId="0" fontId="2" fillId="20" borderId="0" xfId="0" applyNumberFormat="1" applyFont="1" applyFill="1" applyBorder="1" applyAlignment="1">
      <x:alignment vertical="center" wrapText="0"/>
    </x:xf>
    <x:xf numFmtId="0" fontId="1" fillId="20" borderId="2" xfId="0" applyNumberFormat="1" applyFont="1" applyFill="1" applyBorder="1" applyAlignment="1">
      <x:alignment vertical="center" wrapText="1"/>
    </x:xf>
    <x:xf numFmtId="200" fontId="1" fillId="20" borderId="2" xfId="0" applyNumberFormat="1" applyFont="1" applyFill="1" applyBorder="1" applyAlignment="1">
      <x:alignment vertical="center" wrapText="1"/>
    </x:xf>
    <x:xf numFmtId="201" fontId="1" fillId="20" borderId="0" xfId="0" applyNumberFormat="1" applyFont="1" applyFill="1" applyBorder="1" applyAlignment="1">
      <x:alignment vertical="center" wrapText="1"/>
    </x:xf>
    <x:xf numFmtId="0" fontId="1" fillId="21" borderId="0" xfId="0" applyNumberFormat="1" applyFont="1" applyFill="1" applyBorder="1" applyAlignment="1">
      <x:alignment vertical="center" wrapText="1"/>
    </x:xf>
    <x:xf numFmtId="201" fontId="1" fillId="21" borderId="0" xfId="0" applyNumberFormat="1" applyFont="1" applyFill="1" applyBorder="1" applyAlignment="1">
      <x:alignment vertical="center" wrapText="1"/>
    </x:xf>
    <x:xf numFmtId="0" fontId="1" fillId="22" borderId="0" xfId="0" applyNumberFormat="1" applyFont="1" applyFill="1" applyBorder="1" applyAlignment="1">
      <x:alignment vertical="center" wrapText="1"/>
    </x:xf>
    <x:xf numFmtId="0" fontId="3" fillId="22" borderId="0" xfId="0" applyNumberFormat="1" applyFont="1" applyFill="1" applyBorder="1" applyAlignment="1">
      <x:alignment vertical="center" wrapText="1"/>
    </x:xf>
    <x:xf numFmtId="0" fontId="3" fillId="22" borderId="0" xfId="0" applyNumberFormat="1" applyFont="1" applyFill="1" applyBorder="1" applyAlignment="1">
      <x:alignment horizontal="center" vertical="center" wrapText="1"/>
    </x:xf>
    <x:xf numFmtId="0" fontId="1" fillId="20" borderId="3" xfId="0" applyNumberFormat="1" applyFont="1" applyFill="1" applyBorder="1" applyAlignment="1">
      <x:alignment vertical="center" wrapText="1"/>
    </x:xf>
    <x:xf numFmtId="0" fontId="1" fillId="23" borderId="0" xfId="0" applyNumberFormat="1" applyFont="1" applyFill="1" applyBorder="1" applyAlignment="1">
      <x:alignment vertical="center" wrapText="1"/>
    </x:xf>
    <x:xf numFmtId="0" fontId="1" fillId="23" borderId="3" xfId="0" applyNumberFormat="1" applyFont="1" applyFill="1" applyBorder="1" applyAlignment="1">
      <x:alignment vertical="center" wrapText="1"/>
    </x:xf>
    <x:xf numFmtId="0" fontId="4" fillId="20" borderId="3" xfId="0" applyNumberFormat="1" applyFont="1" applyFill="1" applyBorder="1" applyAlignment="1">
      <x:alignment vertical="center" wrapText="1"/>
    </x:xf>
    <x:xf numFmtId="0" fontId="4" fillId="23" borderId="3" xfId="0" applyNumberFormat="1" applyFont="1" applyFill="1" applyBorder="1" applyAlignment="1">
      <x:alignment vertical="center" wrapText="1"/>
    </x:xf>
    <x:xf numFmtId="201" fontId="1" fillId="20" borderId="3" xfId="0" applyNumberFormat="1" applyFont="1" applyFill="1" applyBorder="1" applyAlignment="1">
      <x:alignment vertical="center" wrapText="1"/>
    </x:xf>
    <x:xf numFmtId="201" fontId="1" fillId="20" borderId="3" xfId="0" applyNumberFormat="1" applyFont="1" applyFill="1" applyBorder="1" applyAlignment="1">
      <x:alignment horizontal="right" vertical="center" wrapText="1"/>
    </x:xf>
    <x:xf numFmtId="0" fontId="1" fillId="20" borderId="0" xfId="0" applyNumberFormat="1" applyFont="1" applyFill="1" applyBorder="1" applyAlignment="1">
      <x:alignment vertical="center" wrapText="0"/>
    </x:xf>
    <x:xf numFmtId="0" fontId="8" fillId="20" borderId="0" xfId="0" applyNumberFormat="1" applyFont="1" applyFill="1" applyBorder="1" applyAlignment="1">
      <x:alignment vertical="center" wrapText="0"/>
    </x:xf>
    <x:xf numFmtId="0" fontId="9" fillId="20" borderId="0" xfId="0" applyNumberFormat="1" applyFont="1" applyFill="1" applyBorder="1" applyAlignment="1">
      <x:alignment vertical="center" wrapText="1"/>
    </x:xf>
    <x:xf numFmtId="0" fontId="1" fillId="20" borderId="2" xfId="0" applyNumberFormat="1" applyFont="1" applyFill="1" applyBorder="1" applyAlignment="1">
      <x:alignment vertical="center" wrapText="0"/>
    </x:xf>
    <x:xf numFmtId="201" fontId="1" fillId="23" borderId="3" xfId="0" applyNumberFormat="1" applyFont="1" applyFill="1" applyBorder="1" applyAlignment="1">
      <x:alignment vertical="center" wrapText="1"/>
    </x:xf>
    <x:xf numFmtId="201" fontId="1" fillId="23" borderId="3" xfId="0" applyNumberFormat="1" applyFont="1" applyFill="1" applyBorder="1" applyAlignment="1">
      <x:alignment horizontal="right" vertical="center" wrapText="1"/>
    </x:xf>
    <x:xf numFmtId="0" fontId="1" fillId="23" borderId="3" xfId="0" applyNumberFormat="1" applyFont="1" applyFill="1" applyBorder="1" applyAlignment="1">
      <x:alignment horizontal="right" vertical="center" wrapText="1"/>
    </x:xf>
    <x:xf numFmtId="0" fontId="1" fillId="20" borderId="3" xfId="0" applyNumberFormat="1" applyFont="1" applyFill="1" applyBorder="1" applyAlignment="1">
      <x:alignment horizontal="center" vertical="center" wrapText="1"/>
    </x:xf>
    <x:xf numFmtId="0" fontId="1" fillId="23" borderId="3" xfId="0" applyNumberFormat="1" applyFont="1" applyFill="1" applyBorder="1" applyAlignment="1">
      <x:alignment horizontal="center" vertical="center" wrapText="1"/>
    </x:xf>
    <x:xf numFmtId="0" fontId="1" fillId="20" borderId="0" xfId="0" applyNumberFormat="1" applyFont="1" applyFill="1" applyBorder="1" applyAlignment="1">
      <x:alignment horizontal="center" vertical="center" wrapText="1"/>
    </x:xf>
    <x:xf numFmtId="0" fontId="10" fillId="20" borderId="3" xfId="0" applyNumberFormat="1" applyFont="1" applyFill="1" applyBorder="1" applyAlignment="1">
      <x:alignment vertical="center" wrapText="1"/>
    </x:xf>
    <x:xf numFmtId="0" fontId="10" fillId="23" borderId="3" xfId="0" applyNumberFormat="1" applyFont="1" applyFill="1" applyBorder="1" applyAlignment="1">
      <x:alignment vertical="center" wrapText="1"/>
    </x:xf>
    <x:xf numFmtId="202" fontId="1" fillId="20" borderId="3" xfId="0" applyNumberFormat="1" applyFont="1" applyFill="1" applyBorder="1" applyAlignment="1">
      <x:alignment vertical="center" wrapText="1"/>
    </x:xf>
    <x:xf numFmtId="202" fontId="1" fillId="23" borderId="3" xfId="0" applyNumberFormat="1" applyFont="1" applyFill="1" applyBorder="1" applyAlignment="1">
      <x:alignment vertical="center" wrapText="1"/>
    </x:xf>
    <x:xf numFmtId="202" fontId="1" fillId="20" borderId="3" xfId="0" applyNumberFormat="1" applyFont="1" applyFill="1" applyBorder="1" applyAlignment="1">
      <x:alignment horizontal="right" vertical="center" wrapText="1"/>
    </x:xf>
    <x:xf numFmtId="202" fontId="1" fillId="23" borderId="3" xfId="0" applyNumberFormat="1" applyFont="1" applyFill="1" applyBorder="1" applyAlignment="1">
      <x:alignment horizontal="right" vertical="center" wrapText="1"/>
    </x:xf>
    <x:xf numFmtId="202" fontId="6" fillId="20" borderId="3" xfId="0" applyNumberFormat="1" applyFont="1" applyFill="1" applyBorder="1" applyAlignment="1">
      <x:alignment horizontal="right" vertical="center" wrapText="1"/>
    </x:xf>
    <x:xf numFmtId="202" fontId="6" fillId="23" borderId="3" xfId="0" applyNumberFormat="1" applyFont="1" applyFill="1" applyBorder="1" applyAlignment="1">
      <x:alignment horizontal="right" vertical="center" wrapText="1"/>
    </x:xf>
    <x:xf numFmtId="204" fontId="1" fillId="20" borderId="3" xfId="0" applyNumberFormat="1" applyFont="1" applyFill="1" applyBorder="1" applyAlignment="1">
      <x:alignment vertical="center" wrapText="1"/>
    </x:xf>
    <x:xf numFmtId="204" fontId="1" fillId="23" borderId="3" xfId="0" applyNumberFormat="1" applyFont="1" applyFill="1" applyBorder="1" applyAlignment="1">
      <x:alignment vertical="center" wrapText="1"/>
    </x:xf>
    <x:xf numFmtId="204" fontId="1" fillId="20" borderId="3" xfId="0" applyNumberFormat="1" applyFont="1" applyFill="1" applyBorder="1" applyAlignment="1">
      <x:alignment horizontal="right" vertical="center" wrapText="1"/>
    </x:xf>
    <x:xf numFmtId="204" fontId="1" fillId="23" borderId="3" xfId="0" applyNumberFormat="1" applyFont="1" applyFill="1" applyBorder="1" applyAlignment="1">
      <x:alignment horizontal="right" vertical="center" wrapText="1"/>
    </x:xf>
    <x:xf numFmtId="204" fontId="6" fillId="20" borderId="3" xfId="0" applyNumberFormat="1" applyFont="1" applyFill="1" applyBorder="1" applyAlignment="1">
      <x:alignment horizontal="right" vertical="center" wrapText="1"/>
    </x:xf>
    <x:xf numFmtId="204" fontId="6" fillId="23" borderId="3" xfId="0" applyNumberFormat="1" applyFont="1" applyFill="1" applyBorder="1" applyAlignment="1">
      <x:alignment horizontal="right" vertical="center" wrapText="1"/>
    </x:xf>
    <x:xf numFmtId="201" fontId="1" fillId="6" borderId="3" xfId="0" applyNumberFormat="1" applyFont="1" applyFill="1" applyBorder="1" applyAlignment="1">
      <x:alignment horizontal="center" vertical="center" wrapText="1"/>
    </x:xf>
    <x:xf numFmtId="202" fontId="6" fillId="6" borderId="3" xfId="0" applyNumberFormat="1" applyFont="1" applyFill="1" applyBorder="1" applyAlignment="1">
      <x:alignment horizontal="center" vertical="center" wrapText="1"/>
    </x:xf>
    <x:xf numFmtId="202" fontId="6" fillId="23" borderId="3" xfId="0" applyNumberFormat="1" applyFont="1" applyFill="1" applyBorder="1" applyAlignment="1">
      <x:alignment horizontal="center" vertical="center" wrapText="1"/>
    </x:xf>
    <x:xf numFmtId="202" fontId="1" fillId="6" borderId="3" xfId="0" applyNumberFormat="1" applyFont="1" applyFill="1" applyBorder="1" applyAlignment="1">
      <x:alignment horizontal="center" vertical="center" wrapText="1"/>
    </x:xf>
    <x:xf numFmtId="202" fontId="1" fillId="23" borderId="3" xfId="0" applyNumberFormat="1" applyFont="1" applyFill="1" applyBorder="1" applyAlignment="1">
      <x:alignment horizontal="center" vertical="center" wrapText="1"/>
    </x:xf>
    <x:xf numFmtId="204" fontId="6" fillId="6" borderId="3" xfId="0" applyNumberFormat="1" applyFont="1" applyFill="1" applyBorder="1" applyAlignment="1">
      <x:alignment horizontal="center" vertical="center" wrapText="1"/>
    </x:xf>
    <x:xf numFmtId="0" fontId="1" fillId="6" borderId="3" xfId="0" applyNumberFormat="1" applyFont="1" applyFill="1" applyBorder="1" applyAlignment="1">
      <x:alignment horizontal="center" vertical="center" wrapText="1"/>
    </x:xf>
    <x:xf numFmtId="204" fontId="6" fillId="23" borderId="3" xfId="0" applyNumberFormat="1" applyFont="1" applyFill="1" applyBorder="1" applyAlignment="1">
      <x:alignment horizontal="center" vertical="center" wrapText="1"/>
    </x:xf>
    <x:xf numFmtId="0" fontId="11" fillId="6" borderId="3" xfId="0" applyNumberFormat="1" applyFont="1" applyFill="1" applyBorder="1" applyAlignment="1">
      <x:alignment vertical="center" wrapText="1"/>
    </x:xf>
    <x:xf numFmtId="0" fontId="11" fillId="23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37f34f7b9f4b7d" /><Relationship Type="http://schemas.openxmlformats.org/officeDocument/2006/relationships/theme" Target="/xl/theme/theme1.xml" Id="R611f83c8ee7b4872" /><Relationship Type="http://schemas.openxmlformats.org/officeDocument/2006/relationships/sharedStrings" Target="/xl/sharedStrings.xml" Id="Ra4ce12e8824f4904" /><Relationship Type="http://schemas.openxmlformats.org/officeDocument/2006/relationships/worksheet" Target="/xl/worksheets/sheet1.xml" Id="R72b31c3121114b62" /><Relationship Type="http://schemas.openxmlformats.org/officeDocument/2006/relationships/worksheet" Target="/xl/worksheets/sheet2.xml" Id="R52475ef35b1843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476A"/>
  </x:sheetPr>
  <x:sheetViews>
    <x:sheetView showGridLines="0" workbookViewId="0"/>
  </x:sheetViews>
  <x:sheetFormatPr defaultRowHeight="15"/>
  <x:cols>
    <x:col min="1" max="1" width="27" hidden="0" customWidth="1"/>
    <x:col min="2" max="2" width="44" hidden="0" customWidth="1"/>
    <x:col min="3" max="3" width="44" hidden="0" customWidth="1"/>
    <x:col min="4" max="4" width="44" hidden="0" customWidth="1"/>
  </x:cols>
  <x:sheetData>
    <x:row r="1" ht="28" customHeight="1">
      <x:c r="A1" s="86"/>
      <x:c r="B1" s="86"/>
      <x:c r="C1" s="86"/>
      <x:c r="D1" s="86"/>
    </x:row>
    <x:row r="2" ht="34" customHeight="1">
      <x:c r="A2" s="88" t="str">
        <x:v>GEO 方案与费用对比</x:v>
      </x:c>
      <x:c r="B2" s="86"/>
      <x:c r="C2" s="86"/>
      <x:c r="D2" s="86"/>
    </x:row>
    <x:row r="3" ht="28" customHeight="1">
      <x:c r="A3" s="89" t="str">
        <x:v>企业自用，单人执行</x:v>
      </x:c>
      <x:c r="B3" s="89"/>
      <x:c r="C3" s="89" t="str">
        <x:v>汇报日期</x:v>
      </x:c>
      <x:c r="D3" s="90" t="d">
        <x:v>2026-10-15T00:00:00.000Z</x:v>
      </x:c>
    </x:row>
    <x:row r="4" ht="28" customHeight="1">
      <x:c r="A4" s="86"/>
      <x:c r="B4" s="86"/>
      <x:c r="C4" s="86"/>
      <x:c r="D4" s="86"/>
    </x:row>
    <x:row r="5" ht="43" customHeight="1">
      <x:c r="A5" s="92" t="str">
        <x:v>建议路线</x:v>
      </x:c>
      <x:c r="B5" s="92" t="str">
        <x:v>先免费试用，合格后按月订阅。</x:v>
      </x:c>
      <x:c r="C5" s="92" t="str">
        <x:v>首期现金预算上限</x:v>
      </x:c>
      <x:c r="D5" s="93" t="n">
        <x:f>'报价与假设'!B43</x:f>
        <x:v>300</x:v>
      </x:c>
    </x:row>
    <x:row r="6" ht="28" customHeight="1">
      <x:c r="A6" s="86"/>
      <x:c r="B6" s="86"/>
      <x:c r="C6" s="86"/>
      <x:c r="D6" s="86"/>
    </x:row>
    <x:row r="7" ht="31" customHeight="1">
      <x:c r="A7" s="96" t="str">
        <x:v>比较项目</x:v>
      </x:c>
      <x:c r="B7" s="96" t="str">
        <x:v>订阅现成监测工具</x:v>
      </x:c>
      <x:c r="C7" s="96" t="str">
        <x:v>部署开源工具</x:v>
      </x:c>
      <x:c r="D7" s="96" t="str">
        <x:v>自建轻量工具</x:v>
      </x:c>
    </x:row>
    <x:row r="8" ht="53" customHeight="1">
      <x:c r="A8" s="100" t="str">
        <x:v>当前建议</x:v>
      </x:c>
      <x:c r="B8" s="97" t="str">
        <x:v>优先试用，合格后月付。</x:v>
      </x:c>
      <x:c r="C8" s="97" t="str">
        <x:v>作为备选，先验证现成功能。</x:v>
      </x:c>
      <x:c r="D8" s="97" t="str">
        <x:v>暂缓，出现明确功能缺口再开发。</x:v>
      </x:c>
    </x:row>
    <x:row r="9" ht="53" customHeight="1">
      <x:c r="A9" s="101" t="str">
        <x:v>主要交付</x:v>
      </x:c>
      <x:c r="B9" s="99" t="str">
        <x:v>按套餐获得监测、引用和竞品报告；功能需试用核实。</x:v>
      </x:c>
      <x:c r="C9" s="99" t="str">
        <x:v>复用本地看板、人工导入及报告，按需少量适配。</x:v>
      </x:c>
      <x:c r="D9" s="99" t="str">
        <x:v>按自有流程开发采样、证据和报告，仅限轻量范围。</x:v>
      </x:c>
    </x:row>
    <x:row r="10" ht="53" customHeight="1">
      <x:c r="A10" s="100" t="str">
        <x:v>前期工作</x:v>
      </x:c>
      <x:c r="B10" s="97" t="str">
        <x:v>配置品牌和问题，核验样本、计费与导出。</x:v>
      </x:c>
      <x:c r="C10" s="97" t="str">
        <x:v>验证环境、配置资料、检查导入与备份。</x:v>
      </x:c>
      <x:c r="D10" s="97" t="str">
        <x:v>设计、开发、测试及持续维护。</x:v>
      </x:c>
    </x:row>
    <x:row r="11" ht="68" customHeight="1">
      <x:c r="A11" s="101" t="str">
        <x:v>预计周期</x:v>
      </x:c>
      <x:c r="B11" s="99" t="str">
        <x:v>试用后按实际配置投入记录。</x:v>
      </x:c>
      <x:c r="C11" s="99" t="str">
        <x:f>"安装试用 "&amp;TEXT('报价与假设'!B58,"0")&amp;"–"&amp;TEXT('报价与假设'!C58,"0")&amp;" 个工作日；基本配置 "&amp;TEXT('报价与假设'!B59,"0")&amp;"–"&amp;TEXT('报价与假设'!C59,"0")&amp;" 周。"&amp;CHAR(10)&amp;"完整试点 "&amp;TEXT('报价与假设'!B60,"0")&amp;"–"&amp;TEXT('报价与假设'!C60,"0")&amp;" 周，含内容与复测。"</x:f>
        <x:v>安装试用 1–3 个工作日；基本配置 1–2 周。
完整试点 4–6 周，含内容与复测。</x:v>
      </x:c>
      <x:c r="D11" s="99" t="str">
        <x:f>"约 "&amp;TEXT('报价与假设'!B47,"0")&amp;"–"&amp;TEXT('报价与假设'!B48,"0")&amp;" 小时。初始排期约 4–6 周，每周投入 15–20 小时（内部估算）。"</x:f>
        <x:v>约 60–120 小时。初始排期约 4–6 周，每周投入 15–20 小时（内部估算）。</x:v>
      </x:c>
    </x:row>
    <x:row r="12" ht="33" customHeight="1">
      <x:c r="A12" s="100" t="str">
        <x:v>月度软件基础费（元）</x:v>
      </x:c>
      <x:c r="B12" s="103" t="n">
        <x:f>'报价与假设'!B7</x:f>
        <x:v>199</x:v>
      </x:c>
      <x:c r="C12" s="103" t="n">
        <x:f>'报价与假设'!B29</x:f>
        <x:v>0</x:v>
      </x:c>
      <x:c r="D12" s="103" t="n">
        <x:v>0</x:v>
      </x:c>
    </x:row>
    <x:row r="13" ht="53" customHeight="1">
      <x:c r="A13" s="101" t="str">
        <x:v>额外费用</x:v>
      </x:c>
      <x:c r="B13" s="99" t="str">
        <x:v>端类型选配、超额采样及写稿发稿积分需核价。</x:v>
      </x:c>
      <x:c r="C13" s="99" t="str">
        <x:v>本机运行，API 与备份按实际条件另计。</x:v>
      </x:c>
      <x:c r="D13" s="99" t="str">
        <x:v>API、运行与备份另计，不含个人时间。</x:v>
      </x:c>
    </x:row>
    <x:row r="14" ht="33" customHeight="1">
      <x:c r="A14" s="100" t="str">
        <x:f>TEXT('报价与假设'!B44,"0")&amp;" 个月软件基础费（元）"</x:f>
        <x:v>3 个月软件基础费（元）</x:v>
      </x:c>
      <x:c r="B14" s="103" t="n">
        <x:f>B12*'报价与假设'!B44</x:f>
        <x:v>597</x:v>
      </x:c>
      <x:c r="C14" s="103" t="n">
        <x:f>C12*'报价与假设'!B44</x:f>
        <x:v>0</x:v>
      </x:c>
      <x:c r="D14" s="103" t="n">
        <x:f>D12*'报价与假设'!B44</x:f>
        <x:v>0</x:v>
      </x:c>
    </x:row>
    <x:row r="15" ht="53" customHeight="1">
      <x:c r="A15" s="101" t="str">
        <x:v>首月现金总额</x:v>
      </x:c>
      <x:c r="B15" s="99" t="str">
        <x:f>"软件基础 "&amp;TEXT(B12,"0")&amp;" 元加选配及超额费用，待核完整报价。"</x:f>
        <x:v>软件基础 199 元加选配及超额费用，待核完整报价。</x:v>
      </x:c>
      <x:c r="C15" s="99" t="str">
        <x:v>按用量和现有设备条件确定，暂不作固定总价。</x:v>
      </x:c>
      <x:c r="D15" s="99" t="str">
        <x:f>"运行预算 "&amp;TEXT('报价与假设'!B45,"0")&amp;"–"&amp;TEXT('报价与假设'!B46,"0")&amp;" 元，不含个人时间。"</x:f>
        <x:v>运行预算 100–300 元，不含个人时间。</x:v>
      </x:c>
    </x:row>
    <x:row r="16" ht="53" customHeight="1">
      <x:c r="A16" s="100" t="str">
        <x:f>TEXT('报价与假设'!B44,"0")&amp;" 个月现金总额"</x:f>
        <x:v>3 个月现金总额</x:v>
      </x:c>
      <x:c r="B16" s="97" t="str">
        <x:f>"软件基础 "&amp;TEXT(B14,"0")&amp;" 元加选配及超额费用，待核完整报价。"</x:f>
        <x:v>软件基础 597 元加选配及超额费用，待核完整报价。</x:v>
      </x:c>
      <x:c r="C16" s="97" t="str">
        <x:v>API、运行与备份按实际用量累计。</x:v>
      </x:c>
      <x:c r="D16" s="97" t="str">
        <x:f>"运行预算 "&amp;TEXT('报价与假设'!B45*'报价与假设'!B44,"0")&amp;"–"&amp;TEXT('报价与假设'!B46*'报价与假设'!B44,"0")&amp;" 元，不含个人时间。"</x:f>
        <x:v>运行预算 300–900 元，不含个人时间。</x:v>
      </x:c>
    </x:row>
    <x:row r="17" ht="53" customHeight="1">
      <x:c r="A17" s="101" t="str">
        <x:v>时间成本下限</x:v>
      </x:c>
      <x:c r="B17" s="99" t="str">
        <x:v>按实际配置与试用耗时记录。</x:v>
      </x:c>
      <x:c r="C17" s="99" t="str">
        <x:v>按实际安装与适配耗时记录。</x:v>
      </x:c>
      <x:c r="D17" s="99" t="str">
        <x:v>按实际投入工时评估，不折算金额。</x:v>
      </x:c>
    </x:row>
    <x:row r="18" ht="53" customHeight="1">
      <x:c r="A18" s="100" t="str">
        <x:v>时间成本上限</x:v>
      </x:c>
      <x:c r="B18" s="97" t="str">
        <x:v>按实际配置与试用耗时记录。</x:v>
      </x:c>
      <x:c r="C18" s="97" t="str">
        <x:v>按实际安装与适配耗时记录。</x:v>
      </x:c>
      <x:c r="D18" s="97" t="str">
        <x:v>按实际投入工时评估，不折算金额。</x:v>
      </x:c>
    </x:row>
    <x:row r="19" ht="53" customHeight="1">
      <x:c r="A19" s="101" t="str">
        <x:v>持续维护</x:v>
      </x:c>
      <x:c r="B19" s="99" t="str">
        <x:v>供应商维护服务，企业核验数据、事实并改进内容。</x:v>
      </x:c>
      <x:c r="C19" s="99" t="str">
        <x:v>本人维护环境和版本，并承担采样、内容与复测。</x:v>
      </x:c>
      <x:c r="D19" s="99" t="str">
        <x:v>本人承担研发、采集变化、故障和内容运营。</x:v>
      </x:c>
    </x:row>
    <x:row r="20" ht="53" customHeight="1">
      <x:c r="A20" s="100" t="str">
        <x:v>数据与扩展</x:v>
      </x:c>
      <x:c r="B20" s="97" t="str">
        <x:v>确认原文、截图、引用和历史结果导出及停订后的保留。</x:v>
      </x:c>
      <x:c r="C20" s="97" t="str">
        <x:v>资料留在本地，访问控制和备份由本人负责。</x:v>
      </x:c>
      <x:c r="D20" s="97" t="str">
        <x:v>可定制流程，扩展能力取决于后续投入。</x:v>
      </x:c>
    </x:row>
    <x:row r="21" ht="53" customHeight="1">
      <x:c r="A21" s="101" t="str">
        <x:v>比较边界</x:v>
      </x:c>
      <x:c r="B21" s="99" t="str">
        <x:v>以透镜基础版费用作参考，需核实正式报价及效果。</x:v>
      </x:c>
      <x:c r="C21" s="99" t="str">
        <x:v>许可费为零，运行与时间另计；Windows 需验证 WSL。</x:v>
      </x:c>
      <x:c r="D21" s="99" t="str">
        <x:v>工时仅对应轻量工具，不含完整企业平台。</x:v>
      </x:c>
    </x:row>
    <x:row r="22" ht="28" customHeight="1">
      <x:c r="A22" s="86"/>
      <x:c r="B22" s="86"/>
      <x:c r="C22" s="86"/>
      <x:c r="D22" s="86"/>
    </x:row>
    <x:row r="23" ht="29" customHeight="1">
      <x:c r="A23" s="105" t="str">
        <x:v>试点安排与验收</x:v>
      </x:c>
      <x:c r="B23" s="86"/>
      <x:c r="C23" s="86"/>
      <x:c r="D23" s="86"/>
    </x:row>
    <x:row r="24" ht="31" customHeight="1">
      <x:c r="A24" s="96" t="str">
        <x:v>事项</x:v>
      </x:c>
      <x:c r="B24" s="96" t="str">
        <x:v>建议安排</x:v>
      </x:c>
      <x:c r="C24" s="96" t="str">
        <x:v>执行范围</x:v>
      </x:c>
      <x:c r="D24" s="96" t="str">
        <x:v>验收或后续动作</x:v>
      </x:c>
    </x:row>
    <x:row r="25" ht="52" customHeight="1">
      <x:c r="A25" s="97" t="str">
        <x:v>初始范围</x:v>
      </x:c>
      <x:c r="B25" s="97" t="str">
        <x:v>1 个品牌，2 个竞品。</x:v>
      </x:c>
      <x:c r="C25" s="97" t="str">
        <x:v>10–20 个固定问题，先选两个重点消费端。</x:v>
      </x:c>
      <x:c r="D25" s="97" t="str">
        <x:v>可回看回答、时间与引用，失败不算未提及。</x:v>
      </x:c>
    </x:row>
    <x:row r="26" ht="52" customHeight="1">
      <x:c r="A26" s="99" t="str">
        <x:v>试点期限</x:v>
      </x:c>
      <x:c r="B26" s="99" t="str">
        <x:f>TEXT('报价与假设'!B42,"0")&amp;" 个月"</x:f>
        <x:v>1 个月</x:v>
      </x:c>
      <x:c r="C26" s="99" t="str">
        <x:v>先免费体验，再选择一家月付。</x:v>
      </x:c>
      <x:c r="D26" s="99" t="str">
        <x:v>期满记录数据质量、费用及节省的整理时间。</x:v>
      </x:c>
    </x:row>
    <x:row r="27" ht="52" customHeight="1">
      <x:c r="A27" s="97" t="str">
        <x:v>现金预算上限</x:v>
      </x:c>
      <x:c r="B27" s="128" t="n">
        <x:f>'报价与假设'!B43</x:f>
        <x:v>300</x:v>
      </x:c>
      <x:c r="C27" s="97" t="str">
        <x:v>包含订阅和必要的额外采样。</x:v>
      </x:c>
      <x:c r="D27" s="97" t="str">
        <x:v>超出上限先确认范围与费用。</x:v>
      </x:c>
    </x:row>
    <x:row r="28" ht="52" customHeight="1">
      <x:c r="A28" s="99" t="str">
        <x:v>内容改进</x:v>
      </x:c>
      <x:c r="B28" s="99" t="str">
        <x:v>至少完成两项有依据的内容修复。</x:v>
      </x:c>
      <x:c r="C28" s="99" t="str">
        <x:v>保留事实出处、前后版本、发布链接和复测。</x:v>
      </x:c>
      <x:c r="D28" s="99" t="str">
        <x:v>不以工具评分或一次引用变化承诺成交提升。</x:v>
      </x:c>
    </x:row>
    <x:row r="29" ht="52" customHeight="1">
      <x:c r="A29" s="97" t="str">
        <x:v>后续投入</x:v>
      </x:c>
      <x:c r="B29" s="97" t="str">
        <x:v>试点后按实际缺口评估。</x:v>
      </x:c>
      <x:c r="C29" s="97" t="str">
        <x:v>保留开源方案，暂不同时维护两套系统。</x:v>
      </x:c>
      <x:c r="D29" s="97" t="str">
        <x:v>需求持续无法满足时，再开发补充功能。</x:v>
      </x:c>
    </x:row>
    <x:row r="30" ht="28" customHeight="1">
      <x:c r="A30" s="86"/>
      <x:c r="B30" s="86"/>
      <x:c r="C30" s="86"/>
      <x:c r="D30" s="86"/>
    </x:row>
    <x:row r="31" ht="45" customHeight="1">
      <x:c r="A31" s="86" t="str">
        <x:v>报价明细</x:v>
      </x:c>
      <x:c r="B31" s="106" t="str">
        <x:v>见“报价与假设”，按监测工具、运营服务和开源工具分组。</x:v>
      </x:c>
      <x:c r="C31" s="86"/>
      <x:c r="D31" s="86"/>
    </x:row>
    <x:row r="32" ht="28" customHeight="1">
      <x:c r="A32" s="86"/>
      <x:c r="B32" s="86"/>
      <x:c r="C32" s="86"/>
      <x:c r="D32" s="86"/>
    </x:row>
    <x:row r="33" ht="28" customHeight="1">
      <x:c r="A33" s="86"/>
      <x:c r="B33" s="86"/>
      <x:c r="C33" s="86"/>
      <x:c r="D33" s="86"/>
    </x:row>
    <x:row r="34" ht="28" customHeight="1">
      <x:c r="A34" s="86"/>
      <x:c r="B34" s="86"/>
      <x:c r="C34" s="86"/>
      <x:c r="D34" s="86"/>
    </x:row>
    <x:row r="35" ht="30" customHeight="1">
      <x:c r="A35"/>
      <x:c r="B35"/>
      <x:c r="C35"/>
      <x:c r="D35"/>
    </x:row>
    <x:row r="36" ht="32" customHeight="1">
      <x:c r="A36"/>
      <x:c r="B36"/>
      <x:c r="C36"/>
      <x:c r="D36"/>
    </x:row>
    <x:row r="37" ht="57" customHeight="1">
      <x:c r="A37"/>
      <x:c r="B37"/>
      <x:c r="C37"/>
      <x:c r="D37"/>
    </x:row>
    <x:row r="38" ht="57" customHeight="1">
      <x:c r="A38"/>
      <x:c r="B38"/>
      <x:c r="C38"/>
      <x:c r="D38"/>
    </x:row>
    <x:row r="39" ht="37" customHeight="1">
      <x:c r="A39"/>
      <x:c r="B39"/>
      <x:c r="C39"/>
      <x:c r="D39"/>
    </x:row>
    <x:row r="40" ht="57" customHeight="1">
      <x:c r="A40"/>
      <x:c r="B40"/>
      <x:c r="C40"/>
      <x:c r="D40"/>
    </x:row>
    <x:row r="41" ht="57" customHeight="1">
      <x:c r="A41"/>
      <x:c r="B41"/>
      <x:c r="C41"/>
      <x:c r="D4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9BAEC2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2" hidden="0" customWidth="1"/>
    <x:col min="2" max="2" width="19" hidden="0" customWidth="1"/>
    <x:col min="3" max="3" width="24" hidden="0" customWidth="1"/>
    <x:col min="4" max="4" width="42" hidden="0" customWidth="1"/>
    <x:col min="5" max="5" width="58" hidden="0" customWidth="1"/>
    <x:col min="6" max="6" width="53" hidden="0" customWidth="1"/>
  </x:cols>
  <x:sheetData>
    <x:row r="1" ht="28" customHeight="1">
      <x:c r="A1" s="86"/>
      <x:c r="B1" s="86"/>
      <x:c r="C1" s="86"/>
      <x:c r="D1" s="86"/>
      <x:c r="E1" s="86"/>
      <x:c r="F1" s="86"/>
    </x:row>
    <x:row r="2" ht="34" customHeight="1">
      <x:c r="A2" s="88" t="str">
        <x:v>GEO 报价与实施假设</x:v>
      </x:c>
      <x:c r="B2" s="86"/>
      <x:c r="C2" s="86"/>
      <x:c r="D2" s="86"/>
      <x:c r="E2" s="86"/>
      <x:c r="F2" s="86"/>
    </x:row>
    <x:row r="3" ht="28" customHeight="1">
      <x:c r="A3" s="107" t="str">
        <x:v>公开报价核验：2026-10-15</x:v>
      </x:c>
      <x:c r="B3" s="89"/>
      <x:c r="C3" s="89"/>
      <x:c r="D3" s="89" t="str">
        <x:v>官网标价，尚未实测或联系供应商。</x:v>
      </x:c>
      <x:c r="E3" s="89"/>
      <x:c r="F3" s="89"/>
    </x:row>
    <x:row r="4" ht="28" customHeight="1">
      <x:c r="A4" s="86"/>
      <x:c r="B4" s="86"/>
      <x:c r="C4" s="86"/>
      <x:c r="D4" s="86"/>
      <x:c r="E4" s="86"/>
      <x:c r="F4" s="86"/>
    </x:row>
    <x:row r="5" ht="31" customHeight="1">
      <x:c r="A5" s="96" t="str">
        <x:v>服务商／套餐</x:v>
      </x:c>
      <x:c r="B5" s="96" t="str">
        <x:v>公开价格（元）</x:v>
      </x:c>
      <x:c r="C5" s="96" t="str">
        <x:v>计费周期</x:v>
      </x:c>
      <x:c r="D5" s="96" t="str">
        <x:v>类型与主要额度</x:v>
      </x:c>
      <x:c r="E5" s="96" t="str">
        <x:v>费用边界及待确认项</x:v>
      </x:c>
      <x:c r="F5" s="96" t="str">
        <x:v>官方来源</x:v>
      </x:c>
    </x:row>
    <x:row r="6" ht="76" customHeight="1">
      <x:c r="A6" s="97" t="str">
        <x:v>透镜 GEO 入门版</x:v>
      </x:c>
      <x:c r="B6" s="103" t="n">
        <x:v>79</x:v>
      </x:c>
      <x:c r="C6" s="111" t="str">
        <x:v>月付</x:v>
      </x:c>
      <x:c r="D6" s="97" t="str">
        <x:v>监测工具。8 个问题。</x:v>
      </x:c>
      <x:c r="E6" s="97" t="str">
        <x:v>端类型选配、实际采样和导出需核实。写稿与发稿另耗积分。</x:v>
      </x:c>
      <x:c r="F6" s="114" t="str">
        <x:v>https://geo.timus.cn/pricing?tab=retail</x:v>
      </x:c>
    </x:row>
    <x:row r="7" ht="76" customHeight="1">
      <x:c r="A7" s="99" t="str">
        <x:v>透镜 GEO 基础版</x:v>
      </x:c>
      <x:c r="B7" s="109" t="n">
        <x:v>199</x:v>
      </x:c>
      <x:c r="C7" s="112" t="str">
        <x:v>月付</x:v>
      </x:c>
      <x:c r="D7" s="99" t="str">
        <x:v>监测工具。30 个问题。</x:v>
      </x:c>
      <x:c r="E7" s="99" t="str">
        <x:v>价格及额度来自 FAQ。以实际网页/App 选配、导出与完整报价为准。</x:v>
      </x:c>
      <x:c r="F7" s="115" t="str">
        <x:v>https://geo.timus.cn/pricing?tab=retail</x:v>
      </x:c>
    </x:row>
    <x:row r="8" ht="76" customHeight="1">
      <x:c r="A8" s="97" t="str">
        <x:v>独角兽 GEO 专业版</x:v>
      </x:c>
      <x:c r="B8" s="103" t="n">
        <x:v>189</x:v>
      </x:c>
      <x:c r="C8" s="111" t="str">
        <x:v>月付</x:v>
      </x:c>
      <x:c r="D8" s="97" t="str">
        <x:v>监测工具。最多 30 问题，页面列赠送 2,000 积分。</x:v>
      </x:c>
      <x:c r="E8" s="97" t="str">
        <x:v>每题/平台扣费、追加充值和额度用完后的执行规则待确认。</x:v>
      </x:c>
      <x:c r="F8" s="114" t="str">
        <x:v>https://geo.yueyuezi.com/pricing</x:v>
      </x:c>
    </x:row>
    <x:row r="9" ht="76" customHeight="1">
      <x:c r="A9" s="99" t="str">
        <x:v>GEO易 专业版</x:v>
      </x:c>
      <x:c r="B9" s="109" t="n">
        <x:v>99</x:v>
      </x:c>
      <x:c r="C9" s="112" t="str">
        <x:v>月付</x:v>
      </x:c>
      <x:c r="D9" s="99" t="str">
        <x:v>监测与内容工具。30 次检测/月，3 个竞品，PDF 导出。</x:v>
      </x:c>
      <x:c r="E9" s="99" t="str">
        <x:v>对比表另列 30 关键词/月。两种额度的关系、实际频率和消费端采样证据需确认。</x:v>
      </x:c>
      <x:c r="F9" s="115" t="str">
        <x:v>https://geoyi.com.cn/pricing</x:v>
      </x:c>
    </x:row>
    <x:row r="10" ht="76" customHeight="1">
      <x:c r="A10" s="97" t="str">
        <x:v>羽谱 GEO 入门版</x:v>
      </x:c>
      <x:c r="B10" s="103" t="n">
        <x:v>19</x:v>
      </x:c>
      <x:c r="C10" s="111" t="str">
        <x:v>月付，早鸟价</x:v>
      </x:c>
      <x:c r="D10" s="97" t="str">
        <x:v>网站诊断与复查。单站点、历史报告及轻量周度复盘。</x:v>
      </x:c>
      <x:c r="E10" s="97" t="str">
        <x:v>早鸟开通情况、扫描额度、少量 AI 深度分析和消费端品牌采样范围需确认。</x:v>
      </x:c>
      <x:c r="F10" s="114" t="str">
        <x:v>https://www.yupuai.com/pricing</x:v>
      </x:c>
    </x:row>
    <x:row r="11" ht="76" customHeight="1">
      <x:c r="A11" s="99" t="str">
        <x:v>羽谱 GEO 专业版</x:v>
      </x:c>
      <x:c r="B11" s="109" t="n">
        <x:v>69</x:v>
      </x:c>
      <x:c r="C11" s="112" t="str">
        <x:v>月付，早鸟价</x:v>
      </x:c>
      <x:c r="D11" s="99" t="str">
        <x:v>网站诊断及改进流程。优化执行、能见度、内容机会与复测。</x:v>
      </x:c>
      <x:c r="E11" s="99" t="str">
        <x:v>扫描/模型额度、采集入口和发布权限需核实。不能直接视为人工代运营。</x:v>
      </x:c>
      <x:c r="F11" s="115" t="str">
        <x:v>https://www.yupuai.com/pricing</x:v>
      </x:c>
    </x:row>
    <x:row r="12" ht="76" customHeight="1">
      <x:c r="A12" s="97" t="str">
        <x:v>ExportGEO 洞察版</x:v>
      </x:c>
      <x:c r="B12" s="103" t="n">
        <x:v>699</x:v>
      </x:c>
      <x:c r="C12" s="111" t="str">
        <x:v>月付，无启动费</x:v>
      </x:c>
      <x:c r="D12" s="97" t="str">
        <x:v>偏 B2B 出海。100 问题、最多 2 引擎、共享 1,500 次采样/月。</x:v>
      </x:c>
      <x:c r="E12" s="97" t="str">
        <x:v>由客户执行优化，不承诺所有问题每日监测。中文消费端适配需确认。</x:v>
      </x:c>
      <x:c r="F12" s="114" t="str">
        <x:v>https://www.exportgeo.cn/pricing</x:v>
      </x:c>
    </x:row>
    <x:row r="13" ht="28" customHeight="1">
      <x:c r="A13" s="86"/>
      <x:c r="B13" s="86"/>
      <x:c r="C13" s="113"/>
      <x:c r="D13" s="86"/>
      <x:c r="E13" s="86"/>
      <x:c r="F13" s="86"/>
    </x:row>
    <x:row r="14" ht="28" customHeight="1">
      <x:c r="A14" s="86"/>
      <x:c r="B14" s="86"/>
      <x:c r="C14" s="113"/>
      <x:c r="D14" s="86"/>
      <x:c r="E14" s="86"/>
      <x:c r="F14" s="86"/>
    </x:row>
    <x:row r="15" ht="29" customHeight="1">
      <x:c r="A15" s="105" t="str">
        <x:v>内容建设与运营服务</x:v>
      </x:c>
      <x:c r="B15" s="86"/>
      <x:c r="C15" s="113"/>
      <x:c r="D15" s="86"/>
      <x:c r="E15" s="86"/>
      <x:c r="F15" s="86"/>
    </x:row>
    <x:row r="16" ht="31" customHeight="1">
      <x:c r="A16" s="96" t="str">
        <x:v>服务商／套餐</x:v>
      </x:c>
      <x:c r="B16" s="96" t="str">
        <x:v>公开价格（元）</x:v>
      </x:c>
      <x:c r="C16" s="96" t="str">
        <x:v>计费周期</x:v>
      </x:c>
      <x:c r="D16" s="96" t="str">
        <x:v>类型与主要额度</x:v>
      </x:c>
      <x:c r="E16" s="96" t="str">
        <x:v>费用边界及待确认项</x:v>
      </x:c>
      <x:c r="F16" s="96" t="str">
        <x:v>官方来源</x:v>
      </x:c>
    </x:row>
    <x:row r="17" ht="76" customHeight="1">
      <x:c r="A17" s="97" t="str">
        <x:v>龙搜 GEO 体验版</x:v>
      </x:c>
      <x:c r="B17" s="103" t="n">
        <x:v>6990</x:v>
      </x:c>
      <x:c r="C17" s="111" t="str">
        <x:v>3 个月套餐</x:v>
      </x:c>
      <x:c r="D17" s="97" t="str">
        <x:v>营销系统与内容发布。10 个关键词，列媒体/平台/官网发文权益。</x:v>
      </x:c>
      <x:c r="E17" s="97" t="str">
        <x:v>各额度规则、是否含人工执行、外采费用与验收方式需合同确认。</x:v>
      </x:c>
      <x:c r="F17" s="114" t="str">
        <x:v>https://www.geo.cn/geoprice.html</x:v>
      </x:c>
    </x:row>
    <x:row r="18" ht="76" customHeight="1">
      <x:c r="A18" s="99" t="str">
        <x:v>龙搜 GEO 基础版</x:v>
      </x:c>
      <x:c r="B18" s="109" t="n">
        <x:v>12990</x:v>
      </x:c>
      <x:c r="C18" s="112" t="str">
        <x:v>1 年套餐</x:v>
      </x:c>
      <x:c r="D18" s="99" t="str">
        <x:v>营销系统与内容发布。20 个关键词，含问题库及发文权益。</x:v>
      </x:c>
      <x:c r="E18" s="99" t="str">
        <x:v>问题库规模不等于采样次数，内容交付和发布额度需单独核实。</x:v>
      </x:c>
      <x:c r="F18" s="115" t="str">
        <x:v>https://www.geo.cn/geoprice.html</x:v>
      </x:c>
    </x:row>
    <x:row r="19" ht="76" customHeight="1">
      <x:c r="A19" s="97" t="str">
        <x:v>司曜珩 GEO 轻量方案</x:v>
      </x:c>
      <x:c r="B19" s="103" t="n">
        <x:v>4980</x:v>
      </x:c>
      <x:c r="C19" s="111" t="str">
        <x:v>1 年，不带监测</x:v>
      </x:c>
      <x:c r="D19" s="97" t="str">
        <x:v>网站与内容服务。网站、地区报告、媒体及自媒体稿件。</x:v>
      </x:c>
      <x:c r="E19" s="97" t="str">
        <x:v>该价格明确不带监测。部分媒体权益跨三年，交付周期及资源需确认。</x:v>
      </x:c>
      <x:c r="F19" s="114" t="str">
        <x:v>https://www.sygeo.cn/jiage/</x:v>
      </x:c>
    </x:row>
    <x:row r="20" ht="76" customHeight="1">
      <x:c r="A20" s="99" t="str">
        <x:v>司曜珩 GEO 轻量含监测</x:v>
      </x:c>
      <x:c r="B20" s="109" t="n">
        <x:v>6980</x:v>
      </x:c>
      <x:c r="C20" s="112" t="str">
        <x:v>1 年，带监测</x:v>
      </x:c>
      <x:c r="D20" s="99" t="str">
        <x:v>网站与内容服务加监测。</x:v>
      </x:c>
      <x:c r="E20" s="99" t="str">
        <x:v>监测引擎、问题量、采样方式和额外收费须确认，不能与不带监测价混用。</x:v>
      </x:c>
      <x:c r="F20" s="115" t="str">
        <x:v>https://www.sygeo.cn/jiage/</x:v>
      </x:c>
    </x:row>
    <x:row r="21" ht="76" customHeight="1">
      <x:c r="A21" s="97" t="str">
        <x:v>元点智创 GEO 标准版</x:v>
      </x:c>
      <x:c r="B21" s="103" t="n">
        <x:v>3980</x:v>
      </x:c>
      <x:c r="C21" s="111" t="str">
        <x:v>季度套餐</x:v>
      </x:c>
      <x:c r="D21" s="97" t="str">
        <x:v>内容与优化服务。约 200 核心词、新媒体矩阵及报告。</x:v>
      </x:c>
      <x:c r="E21" s="97" t="str">
        <x:v>页面另提基础费加有效线索提成。叠加提成、试运营价格及退出条件需合同明确。</x:v>
      </x:c>
      <x:c r="F21" s="114" t="str">
        <x:v>https://www.ydzc-geo.com/services</x:v>
      </x:c>
    </x:row>
    <x:row r="22" ht="76" customHeight="1">
      <x:c r="A22" s="99" t="str">
        <x:v>元点智创 GEO 标准年付</x:v>
      </x:c>
      <x:c r="B22" s="109" t="n">
        <x:v>12800</x:v>
      </x:c>
      <x:c r="C22" s="112" t="str">
        <x:v>年度套餐</x:v>
      </x:c>
      <x:c r="D22" s="99" t="str">
        <x:v>内容与优化服务，与季度版分别列价。</x:v>
      </x:c>
      <x:c r="E22" s="99" t="str">
        <x:v>词库、交付、频率和可能的线索提成待确认，效果承诺不视为已验证结果。</x:v>
      </x:c>
      <x:c r="F22" s="115" t="str">
        <x:v>https://www.ydzc-geo.com/services</x:v>
      </x:c>
    </x:row>
    <x:row r="23" ht="76" customHeight="1">
      <x:c r="A23" s="97" t="str">
        <x:v>ExportGEO 全托管增长版</x:v>
      </x:c>
      <x:c r="B23" s="103" t="n">
        <x:v>9800</x:v>
      </x:c>
      <x:c r="C23" s="111" t="str">
        <x:v>月服务费，另收启动费</x:v>
      </x:c>
      <x:c r="D23" s="97" t="str">
        <x:v>偏出海的人工托管，含约定内容及页面改进。</x:v>
      </x:c>
      <x:c r="E23" s="97" t="str">
        <x:v>另收一次性启动费 9,800 元。首期 6 个月含启动费 68,600 元，外采及复杂集成另计。</x:v>
      </x:c>
      <x:c r="F23" s="114" t="str">
        <x:v>https://www.exportgeo.cn/pricing</x:v>
      </x:c>
    </x:row>
    <x:row r="24" ht="76" customHeight="1">
      <x:c r="A24" s="99" t="str">
        <x:v>移山科技 定制 GEO 服务</x:v>
      </x:c>
      <x:c r="B24" s="110" t="str">
        <x:v>需询价</x:v>
      </x:c>
      <x:c r="C24" s="112" t="str">
        <x:v>定制报价</x:v>
      </x:c>
      <x:c r="D24" s="99" t="str">
        <x:v>诊断、内容与信源优化、监测及持续运营。</x:v>
      </x:c>
      <x:c r="E24" s="99" t="str">
        <x:v>FAQ 未公布固定金额。按目标、平台及内容量评估，需书面报价。</x:v>
      </x:c>
      <x:c r="F24" s="115" t="str">
        <x:v>https://www.geokeji.com/faq</x:v>
      </x:c>
    </x:row>
    <x:row r="25" ht="28" customHeight="1">
      <x:c r="A25" s="86"/>
      <x:c r="B25" s="86"/>
      <x:c r="C25" s="113"/>
      <x:c r="D25" s="86"/>
      <x:c r="E25" s="86"/>
      <x:c r="F25" s="86"/>
    </x:row>
    <x:row r="26" ht="28" customHeight="1">
      <x:c r="A26" s="86"/>
      <x:c r="B26" s="86"/>
      <x:c r="C26" s="113"/>
      <x:c r="D26" s="86"/>
      <x:c r="E26" s="86"/>
      <x:c r="F26" s="86"/>
    </x:row>
    <x:row r="27" ht="29" customHeight="1">
      <x:c r="A27" s="105" t="str">
        <x:v>开源工具</x:v>
      </x:c>
      <x:c r="B27" s="86"/>
      <x:c r="C27" s="113"/>
      <x:c r="D27" s="86"/>
      <x:c r="E27" s="86"/>
      <x:c r="F27" s="86"/>
    </x:row>
    <x:row r="28" ht="31" customHeight="1">
      <x:c r="A28" s="96" t="str">
        <x:v>服务商／套餐</x:v>
      </x:c>
      <x:c r="B28" s="96" t="str">
        <x:v>公开价格（元）</x:v>
      </x:c>
      <x:c r="C28" s="96" t="str">
        <x:v>计费周期</x:v>
      </x:c>
      <x:c r="D28" s="96" t="str">
        <x:v>类型与主要额度</x:v>
      </x:c>
      <x:c r="E28" s="96" t="str">
        <x:v>费用边界及待确认项</x:v>
      </x:c>
      <x:c r="F28" s="96" t="str">
        <x:v>官方来源</x:v>
      </x:c>
    </x:row>
    <x:row r="29" ht="80" customHeight="1">
      <x:c r="A29" s="97" t="str">
        <x:v>GeoLook 开源工具</x:v>
      </x:c>
      <x:c r="B29" s="103" t="n">
        <x:v>0</x:v>
      </x:c>
      <x:c r="C29" s="111" t="str">
        <x:v>MIT 开源许可</x:v>
      </x:c>
      <x:c r="D29" s="97" t="str">
        <x:v>本地看板、人工导入、诊断、工单和报告。</x:v>
      </x:c>
      <x:c r="E29" s="97" t="str">
        <x:v>软件许可费为零。运行、API 和本人时间另计，Windows 需验证 WSL。</x:v>
      </x:c>
      <x:c r="F29" s="114" t="str">
        <x:v>https://github.com/aigclink/geolook/blob/main/README.zh-CN.md
许可：https://github.com/aigclink/geolook/blob/main/LICENSE</x:v>
      </x:c>
    </x:row>
    <x:row r="30" ht="28" customHeight="1">
      <x:c r="A30" s="86"/>
      <x:c r="B30" s="86"/>
      <x:c r="C30" s="86"/>
      <x:c r="D30" s="86"/>
      <x:c r="E30" s="86"/>
      <x:c r="F30" s="86"/>
    </x:row>
    <x:row r="31" ht="28" customHeight="1">
      <x:c r="A31" s="86"/>
      <x:c r="B31" s="86"/>
      <x:c r="C31" s="86"/>
      <x:c r="D31" s="86"/>
      <x:c r="E31" s="86"/>
      <x:c r="F31" s="86"/>
    </x:row>
    <x:row r="32" ht="29" customHeight="1">
      <x:c r="A32" s="105" t="str">
        <x:v>计费与采购口径</x:v>
      </x:c>
      <x:c r="B32" s="86"/>
      <x:c r="C32" s="86"/>
      <x:c r="D32" s="86"/>
      <x:c r="E32" s="86"/>
      <x:c r="F32" s="86"/>
    </x:row>
    <x:row r="33" ht="49" customHeight="1">
      <x:c r="A33" s="136" t="str">
        <x:v>费用比较</x:v>
      </x:c>
      <x:c r="B33" s="97" t="str">
        <x:v>保留月、季、年和启动费；开户、采样、外采及提成另行核实。监测软件与人工托管分开评估，不按低价直接排名。</x:v>
      </x:c>
      <x:c r="C33" s="97"/>
      <x:c r="D33" s="97"/>
      <x:c r="E33" s="97"/>
      <x:c r="F33" s="97"/>
    </x:row>
    <x:row r="34" ht="49" customHeight="1">
      <x:c r="A34" s="137" t="str">
        <x:v>采购确认</x:v>
      </x:c>
      <x:c r="B34" s="99" t="str">
        <x:v>确认含税、发票、退款和退出条件，以及原文、截图和历史结果导出。优先中文市场，出海产品作为参考；消费端与 API 分开核验。</x:v>
      </x:c>
      <x:c r="C34" s="99"/>
      <x:c r="D34" s="99"/>
      <x:c r="E34" s="99"/>
      <x:c r="F34" s="99"/>
    </x:row>
    <x:row r="35" ht="49" customHeight="1">
      <x:c r="A35" s="136" t="str">
        <x:v>核验状态</x:v>
      </x:c>
      <x:c r="B35" s="97" t="str">
        <x:v>只核查公开页面，未实测，不作效果背书。无法取得完整报价页时，不根据搜索摘要填价；采购时核验报价主体及工商信息。</x:v>
      </x:c>
      <x:c r="C35" s="97"/>
      <x:c r="D35" s="97"/>
      <x:c r="E35" s="97"/>
      <x:c r="F35" s="97"/>
    </x:row>
    <x:row r="36" ht="28" customHeight="1">
      <x:c r="A36" s="86"/>
      <x:c r="B36" s="86"/>
      <x:c r="C36" s="86"/>
      <x:c r="D36" s="86"/>
      <x:c r="E36" s="86"/>
      <x:c r="F36" s="86"/>
    </x:row>
    <x:row r="37" ht="28" customHeight="1">
      <x:c r="A37" s="86"/>
      <x:c r="B37" s="86"/>
      <x:c r="C37" s="86"/>
      <x:c r="D37" s="86"/>
      <x:c r="E37" s="86"/>
      <x:c r="F37" s="86"/>
    </x:row>
    <x:row r="38" ht="29" customHeight="1">
      <x:c r="A38" s="105" t="str">
        <x:v>预算与工作量假设</x:v>
      </x:c>
      <x:c r="B38" s="86"/>
      <x:c r="C38" s="86"/>
      <x:c r="D38" s="86"/>
      <x:c r="E38" s="86"/>
      <x:c r="F38" s="86"/>
    </x:row>
    <x:row r="39" ht="28" customHeight="1">
      <x:c r="A39" s="86"/>
      <x:c r="B39" s="86"/>
      <x:c r="C39" s="86"/>
      <x:c r="D39" s="86"/>
      <x:c r="E39" s="86"/>
      <x:c r="F39" s="86"/>
    </x:row>
    <x:row r="40" ht="31" customHeight="1">
      <x:c r="A40" s="96" t="str">
        <x:v>参数</x:v>
      </x:c>
      <x:c r="B40" s="96" t="str">
        <x:v>数值</x:v>
      </x:c>
      <x:c r="C40" s="96" t="str">
        <x:v>单位</x:v>
      </x:c>
      <x:c r="D40" s="96" t="str">
        <x:v>定义与边界</x:v>
      </x:c>
      <x:c r="E40" s="86"/>
      <x:c r="F40" s="86"/>
    </x:row>
    <x:row r="41" ht="47" customHeight="1">
      <x:c r="A41" s="97" t="str">
        <x:v>试点月现金上限</x:v>
      </x:c>
      <x:c r="B41" s="129" t="n">
        <x:v>300</x:v>
      </x:c>
      <x:c r="C41" s="97" t="str">
        <x:v>元／月</x:v>
      </x:c>
      <x:c r="D41" s="97" t="str">
        <x:v>预算建议。含订阅和额外采样，不含个人时间、已有设备及订阅。</x:v>
      </x:c>
      <x:c r="E41" s="86"/>
      <x:c r="F41" s="86"/>
    </x:row>
    <x:row r="42" ht="47" customHeight="1">
      <x:c r="A42" s="99" t="str">
        <x:v>试点期限</x:v>
      </x:c>
      <x:c r="B42" s="130" t="n">
        <x:v>1</x:v>
      </x:c>
      <x:c r="C42" s="99" t="str">
        <x:v>月</x:v>
      </x:c>
      <x:c r="D42" s="99" t="str">
        <x:v>按月试点，不假定年付折扣或长期合同。</x:v>
      </x:c>
      <x:c r="E42" s="86"/>
      <x:c r="F42" s="86"/>
    </x:row>
    <x:row r="43" ht="47" customHeight="1">
      <x:c r="A43" s="97" t="str">
        <x:v>首期现金预算上限</x:v>
      </x:c>
      <x:c r="B43" s="131" t="n">
        <x:f>IF(AND(ISNUMBER(B41),ISNUMBER(B42)),B41*B42,"待填写")</x:f>
        <x:v>300</x:v>
      </x:c>
      <x:c r="C43" s="97" t="str">
        <x:v>元</x:v>
      </x:c>
      <x:c r="D43" s="97" t="str">
        <x:v>试点月现金上限乘以试点期限，非供应商成交价。</x:v>
      </x:c>
      <x:c r="E43" s="86"/>
      <x:c r="F43" s="86"/>
    </x:row>
    <x:row r="44" ht="47" customHeight="1">
      <x:c r="A44" s="99" t="str">
        <x:v>费用比较周期</x:v>
      </x:c>
      <x:c r="B44" s="130" t="n">
        <x:v>3</x:v>
      </x:c>
      <x:c r="C44" s="99" t="str">
        <x:v>月</x:v>
      </x:c>
      <x:c r="D44" s="99" t="str">
        <x:v>用于软件基础费推算，不代表全部成本，不假定折扣。</x:v>
      </x:c>
      <x:c r="E44" s="86"/>
      <x:c r="F44" s="86"/>
    </x:row>
    <x:row r="45" ht="47" customHeight="1">
      <x:c r="A45" s="97" t="str">
        <x:v>自建月运行预算下限</x:v>
      </x:c>
      <x:c r="B45" s="129" t="n">
        <x:v>100</x:v>
      </x:c>
      <x:c r="C45" s="97" t="str">
        <x:v>元／月</x:v>
      </x:c>
      <x:c r="D45" s="97" t="str">
        <x:v>内部估算，按用量和现有设备条件确定，不含个人时间。</x:v>
      </x:c>
      <x:c r="E45" s="86"/>
      <x:c r="F45" s="86"/>
    </x:row>
    <x:row r="46" ht="47" customHeight="1">
      <x:c r="A46" s="99" t="str">
        <x:v>自建月运行预算上限</x:v>
      </x:c>
      <x:c r="B46" s="130" t="n">
        <x:v>300</x:v>
      </x:c>
      <x:c r="C46" s="99" t="str">
        <x:v>元／月</x:v>
      </x:c>
      <x:c r="D46" s="99" t="str">
        <x:v>内部估算，按用量和现有设备条件确定，不含个人时间。</x:v>
      </x:c>
      <x:c r="E46" s="86"/>
      <x:c r="F46" s="86"/>
    </x:row>
    <x:row r="47" ht="47" customHeight="1">
      <x:c r="A47" s="97" t="str">
        <x:v>自建轻量工具工时下限</x:v>
      </x:c>
      <x:c r="B47" s="129" t="n">
        <x:v>60</x:v>
      </x:c>
      <x:c r="C47" s="97" t="str">
        <x:v>小时</x:v>
      </x:c>
      <x:c r="D47" s="97" t="str">
        <x:v>初始计划按每周 15 小时、约 4 周估算，不含完整企业平台。</x:v>
      </x:c>
      <x:c r="E47" s="86"/>
      <x:c r="F47" s="86"/>
    </x:row>
    <x:row r="48" ht="47" customHeight="1">
      <x:c r="A48" s="99" t="str">
        <x:v>自建轻量工具工时上限</x:v>
      </x:c>
      <x:c r="B48" s="130" t="n">
        <x:v>120</x:v>
      </x:c>
      <x:c r="C48" s="99" t="str">
        <x:v>小时</x:v>
      </x:c>
      <x:c r="D48" s="99" t="str">
        <x:v>初始计划按每周 20 小时、约 6 周估算，后续仍需维护。</x:v>
      </x:c>
      <x:c r="E48" s="86"/>
      <x:c r="F48" s="86"/>
    </x:row>
    <x:row r="49" ht="47" customHeight="1">
      <x:c r="A49" s="97" t="str">
        <x:v>统一询价问题数</x:v>
      </x:c>
      <x:c r="B49" s="129" t="n">
        <x:v>20</x:v>
      </x:c>
      <x:c r="C49" s="97" t="str">
        <x:v>个</x:v>
      </x:c>
      <x:c r="D49" s="97" t="str">
        <x:v>实际可先采用 10–20 个固定问题。</x:v>
      </x:c>
      <x:c r="E49" s="86"/>
      <x:c r="F49" s="86"/>
    </x:row>
    <x:row r="50" ht="47" customHeight="1">
      <x:c r="A50" s="99" t="str">
        <x:v>统一询价平台数</x:v>
      </x:c>
      <x:c r="B50" s="130" t="n">
        <x:v>2</x:v>
      </x:c>
      <x:c r="C50" s="99" t="str">
        <x:v>个</x:v>
      </x:c>
      <x:c r="D50" s="99" t="str">
        <x:v>明确网页或 App，不能用模型 API 替代后混算。</x:v>
      </x:c>
      <x:c r="E50" s="86"/>
      <x:c r="F50" s="86"/>
    </x:row>
    <x:row r="51" ht="47" customHeight="1">
      <x:c r="A51" s="97" t="str">
        <x:v>询价月监测天数</x:v>
      </x:c>
      <x:c r="B51" s="129" t="n">
        <x:v>30</x:v>
      </x:c>
      <x:c r="C51" s="97" t="str">
        <x:v>天</x:v>
      </x:c>
      <x:c r="D51" s="97" t="str">
        <x:v>每日一次的询价口径，改为周检时重新报价。</x:v>
      </x:c>
      <x:c r="E51" s="86"/>
      <x:c r="F51" s="86"/>
    </x:row>
    <x:row r="52" ht="47" customHeight="1">
      <x:c r="A52" s="99" t="str">
        <x:v>询价回答采样量</x:v>
      </x:c>
      <x:c r="B52" s="132" t="n">
        <x:f>IF(AND(ISNUMBER(B49),ISNUMBER(B50),ISNUMBER(B51)),PRODUCT(B49:B51),"待填写")</x:f>
        <x:v>1200</x:v>
      </x:c>
      <x:c r="C52" s="99" t="str">
        <x:v>条／月</x:v>
      </x:c>
      <x:c r="D52" s="99" t="str">
        <x:v>问题数乘平台数乘监测天数，每条扣费另行确认。</x:v>
      </x:c>
      <x:c r="E52" s="86"/>
      <x:c r="F52" s="86"/>
    </x:row>
    <x:row r="53" ht="47" customHeight="1">
      <x:c r="A53" s="97" t="str">
        <x:v>时间成本评估</x:v>
      </x:c>
      <x:c r="B53" s="97" t="str">
        <x:v>仅记录工时</x:v>
      </x:c>
      <x:c r="C53" s="97" t="str">
        <x:v>说明</x:v>
      </x:c>
      <x:c r="D53" s="97" t="str">
        <x:v>不设示例时薪，不将开发时间折算成金额。</x:v>
      </x:c>
      <x:c r="E53" s="86"/>
      <x:c r="F53" s="86"/>
    </x:row>
    <x:row r="54" ht="28" customHeight="1">
      <x:c r="A54" s="86"/>
      <x:c r="B54" s="86"/>
      <x:c r="C54" s="86"/>
      <x:c r="D54" s="86"/>
      <x:c r="E54" s="86"/>
      <x:c r="F54" s="86"/>
    </x:row>
    <x:row r="55" ht="28" customHeight="1">
      <x:c r="A55" s="86"/>
      <x:c r="B55" s="86"/>
      <x:c r="C55" s="86"/>
      <x:c r="D55" s="86"/>
      <x:c r="E55" s="86"/>
      <x:c r="F55" s="86"/>
    </x:row>
    <x:row r="56" ht="29" customHeight="1">
      <x:c r="A56" s="105" t="str">
        <x:v>开源部署预计工期</x:v>
      </x:c>
      <x:c r="B56" s="86"/>
      <x:c r="C56" s="86"/>
      <x:c r="D56" s="86"/>
      <x:c r="E56" s="86"/>
      <x:c r="F56" s="86"/>
    </x:row>
    <x:row r="57" ht="31" customHeight="1">
      <x:c r="A57" s="96" t="str">
        <x:v>阶段</x:v>
      </x:c>
      <x:c r="B57" s="96" t="str">
        <x:v>下限</x:v>
      </x:c>
      <x:c r="C57" s="96" t="str">
        <x:v>上限</x:v>
      </x:c>
      <x:c r="D57" s="96" t="str">
        <x:v>单位</x:v>
      </x:c>
      <x:c r="E57" s="96" t="str">
        <x:v>范围</x:v>
      </x:c>
      <x:c r="F57" s="96" t="str">
        <x:v>排期前提</x:v>
      </x:c>
    </x:row>
    <x:row r="58" ht="66" customHeight="1">
      <x:c r="A58" s="97" t="str">
        <x:v>安装与试用</x:v>
      </x:c>
      <x:c r="B58" s="133" t="n">
        <x:v>1</x:v>
      </x:c>
      <x:c r="C58" s="133" t="n">
        <x:v>3</x:v>
      </x:c>
      <x:c r="D58" s="134" t="str">
        <x:v>工作日</x:v>
      </x:c>
      <x:c r="E58" s="97" t="str">
        <x:v>环境、依赖、启动看板和少量样本验证。</x:v>
      </x:c>
      <x:c r="F58" s="97" t="str">
        <x:v>Windows/WSL 需先确认，环境排查最多投入一天，失败先转人工台账。</x:v>
      </x:c>
    </x:row>
    <x:row r="59" ht="66" customHeight="1">
      <x:c r="A59" s="99" t="str">
        <x:v>基本配置与适配</x:v>
      </x:c>
      <x:c r="B59" s="135" t="n">
        <x:v>1</x:v>
      </x:c>
      <x:c r="C59" s="135" t="n">
        <x:v>2</x:v>
      </x:c>
      <x:c r="D59" s="112" t="str">
        <x:v>周</x:v>
      </x:c>
      <x:c r="E59" s="99" t="str">
        <x:v>品牌、问题、别名、导入和报告。</x:v>
      </x:c>
      <x:c r="F59" s="99" t="str">
        <x:v>从启动到基本可用的累计窗口，与安装阶段衔接，不加总。</x:v>
      </x:c>
    </x:row>
    <x:row r="60" ht="66" customHeight="1">
      <x:c r="A60" s="97" t="str">
        <x:v>完整自用试点</x:v>
      </x:c>
      <x:c r="B60" s="133" t="n">
        <x:v>4</x:v>
      </x:c>
      <x:c r="C60" s="133" t="n">
        <x:v>6</x:v>
      </x:c>
      <x:c r="D60" s="134" t="str">
        <x:v>周</x:v>
      </x:c>
      <x:c r="E60" s="97" t="str">
        <x:v>含适配、内容改进、复测和备份恢复。</x:v>
      </x:c>
      <x:c r="F60" s="97" t="str">
        <x:v>累计窗口，不另建企业后台。平台权限等待另计，28 天观察可能延后。</x:v>
      </x:c>
    </x:row>
    <x:row r="61" ht="66" customHeight="1">
      <x:c r="A61" s="99" t="str">
        <x:v>每周可投入时间</x:v>
      </x:c>
      <x:c r="B61" s="135" t="n">
        <x:v>15</x:v>
      </x:c>
      <x:c r="C61" s="135" t="n">
        <x:v>20</x:v>
      </x:c>
      <x:c r="D61" s="112" t="str">
        <x:v>小时／周</x:v>
      </x:c>
      <x:c r="E61" s="99" t="str">
        <x:v>本人投入时间的内部假设。</x:v>
      </x:c>
      <x:c r="F61" s="99" t="str">
        <x:v>上述工期尚未实际部署验证，可投入时间减少则顺延。</x:v>
      </x:c>
    </x:row>
    <x:row r="62" ht="28" customHeight="1">
      <x:c r="A62" s="86"/>
      <x:c r="B62" s="86"/>
      <x:c r="C62" s="86"/>
      <x:c r="D62" s="86"/>
      <x:c r="E62" s="86"/>
      <x:c r="F62" s="86"/>
    </x:row>
    <x:row r="63" ht="28" customHeight="1">
      <x:c r="A63" s="86"/>
      <x:c r="B63" s="86"/>
      <x:c r="C63" s="86"/>
      <x:c r="D63" s="86"/>
      <x:c r="E63" s="86"/>
      <x:c r="F63" s="86"/>
    </x:row>
    <x:row r="64" ht="28" customHeight="1">
      <x:c r="A64" s="86"/>
      <x:c r="B64" s="86"/>
      <x:c r="C64" s="86"/>
      <x:c r="D64" s="86"/>
      <x:c r="E64" s="86"/>
      <x:c r="F64" s="86"/>
    </x:row>
    <x:row r="65" ht="28" customHeight="1">
      <x:c r="A65" s="86"/>
      <x:c r="B65" s="86"/>
      <x:c r="C65" s="86"/>
      <x:c r="D65" s="86"/>
      <x:c r="E65" s="86"/>
      <x:c r="F65" s="86"/>
    </x:row>
    <x:row r="66" ht="55" customHeight="1">
      <x:c r="A66"/>
      <x:c r="B66"/>
      <x:c r="C66"/>
      <x:c r="D66"/>
    </x:row>
    <x:row r="67">
      <x:c r="A67"/>
      <x:c r="B67"/>
      <x:c r="C67"/>
      <x:c r="D67"/>
    </x:row>
    <x:row r="68" ht="55" customHeight="1">
      <x:c r="A68"/>
      <x:c r="B68"/>
      <x:c r="C68"/>
      <x:c r="D68"/>
    </x:row>
    <x:row r="69" ht="50" customHeight="1">
      <x:c r="A69"/>
      <x:c r="B69"/>
      <x:c r="C69"/>
      <x:c r="D69"/>
    </x:row>
  </x:sheetData>
  <x:mergeCells>
    <x:mergeCell ref="B33:F33"/>
    <x:mergeCell ref="B34:F34"/>
    <x:mergeCell ref="B35:F35"/>
  </x:mergeCells>
  <x:pageMargins left="0.7" right="0.7" top="0.75" bottom="0.75" header="0.3" footer="0.3"/>
</x:worksheet>
</file>